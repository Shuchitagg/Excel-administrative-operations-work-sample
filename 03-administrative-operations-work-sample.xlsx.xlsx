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ch\Downloads\"/>
    </mc:Choice>
  </mc:AlternateContent>
  <xr:revisionPtr revIDLastSave="0" documentId="13_ncr:1_{E95E4BC2-3D67-4EE8-BE14-32E23F71E0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view" sheetId="1" r:id="rId1"/>
    <sheet name="Educator Data Tracker" sheetId="2" r:id="rId2"/>
    <sheet name="Shared Inbox Tracker" sheetId="3" r:id="rId3"/>
    <sheet name="Meeting A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5" i="4"/>
  <c r="J4" i="4"/>
  <c r="J3" i="4"/>
  <c r="M7" i="3"/>
  <c r="L7" i="3"/>
  <c r="M6" i="3"/>
  <c r="L6" i="3"/>
  <c r="M5" i="3"/>
  <c r="L5" i="3"/>
  <c r="M4" i="3"/>
  <c r="L4" i="3"/>
  <c r="M3" i="3"/>
  <c r="L3" i="3"/>
  <c r="K7" i="2"/>
  <c r="L7" i="2" s="1"/>
  <c r="K6" i="2"/>
  <c r="L6" i="2" s="1"/>
  <c r="K5" i="2"/>
  <c r="L5" i="2" s="1"/>
  <c r="K4" i="2"/>
  <c r="K3" i="2"/>
  <c r="L3" i="2" s="1"/>
  <c r="B20" i="1"/>
  <c r="B18" i="1"/>
  <c r="B16" i="1"/>
  <c r="B19" i="1" l="1"/>
  <c r="B17" i="1"/>
  <c r="L4" i="2"/>
</calcChain>
</file>

<file path=xl/sharedStrings.xml><?xml version="1.0" encoding="utf-8"?>
<sst xmlns="http://schemas.openxmlformats.org/spreadsheetml/2006/main" count="178" uniqueCount="128">
  <si>
    <t>Workbook purpose</t>
  </si>
  <si>
    <t>Demonstrate practical Google Sheets workflows for data collection, shared inbox monitoring, meeting support, scheduling, follow-up, and confidential record handling.</t>
  </si>
  <si>
    <t>Sample workflow summary</t>
  </si>
  <si>
    <t>As-of date</t>
  </si>
  <si>
    <t>Educator requests</t>
  </si>
  <si>
    <t>Data notice</t>
  </si>
  <si>
    <t>All educator names, requests, email subjects, and meeting details in this workbook are fictional and created only for demonstration.</t>
  </si>
  <si>
    <t>Complete requests</t>
  </si>
  <si>
    <t>Google Sheets use</t>
  </si>
  <si>
    <t>Upload this .xlsx file to Google Drive and choose Open with Google Sheets. Filters, formulas, dropdowns, and conditional formatting are designed to remain usable.</t>
  </si>
  <si>
    <t>Open inbox items</t>
  </si>
  <si>
    <t>Overdue inbox items</t>
  </si>
  <si>
    <t>Open meeting actions</t>
  </si>
  <si>
    <t>Reviewer's quick guide</t>
  </si>
  <si>
    <t>1</t>
  </si>
  <si>
    <t>Educator Data Tracker</t>
  </si>
  <si>
    <t>Shows collection, completeness checks, due dates, and follow-up.</t>
  </si>
  <si>
    <t>2</t>
  </si>
  <si>
    <t>Shared Inbox Tracker</t>
  </si>
  <si>
    <t>Shows triage, ownership, response deadlines, confidentiality, and escalation.</t>
  </si>
  <si>
    <t>3</t>
  </si>
  <si>
    <t>Meeting Actions</t>
  </si>
  <si>
    <t>Shows minutes-to-action workflow, accountability, and deadline tracking.</t>
  </si>
  <si>
    <t>Educator Services Data Collection Tracker — Fictional Sample</t>
  </si>
  <si>
    <t>Request ID</t>
  </si>
  <si>
    <t>Educator</t>
  </si>
  <si>
    <t>Program</t>
  </si>
  <si>
    <t>Data Requested</t>
  </si>
  <si>
    <t>Date Requested</t>
  </si>
  <si>
    <t>Due Date</t>
  </si>
  <si>
    <t>Date Received</t>
  </si>
  <si>
    <t>Quality Check</t>
  </si>
  <si>
    <t>Follow-up Needed</t>
  </si>
  <si>
    <t>Owner</t>
  </si>
  <si>
    <t>Status</t>
  </si>
  <si>
    <t>Days Remaining</t>
  </si>
  <si>
    <t>Notes</t>
  </si>
  <si>
    <t>Confidential</t>
  </si>
  <si>
    <t>EDU-001</t>
  </si>
  <si>
    <t>Jordan Lee</t>
  </si>
  <si>
    <t>K–7</t>
  </si>
  <si>
    <t>Monthly learner summary</t>
  </si>
  <si>
    <t>Verified</t>
  </si>
  <si>
    <t>No</t>
  </si>
  <si>
    <t>Shuchita</t>
  </si>
  <si>
    <t>Complete and filed in restricted folder.</t>
  </si>
  <si>
    <t>Yes</t>
  </si>
  <si>
    <t>EDU-002</t>
  </si>
  <si>
    <t>Morgan Chen</t>
  </si>
  <si>
    <t>Grades 8–12</t>
  </si>
  <si>
    <t>Availability form</t>
  </si>
  <si>
    <t>Missing Fields</t>
  </si>
  <si>
    <t>Follow-up sent; preferred meeting times missing.</t>
  </si>
  <si>
    <t>EDU-003</t>
  </si>
  <si>
    <t>Taylor Singh</t>
  </si>
  <si>
    <t>Professional learning record</t>
  </si>
  <si>
    <t>Needs Review</t>
  </si>
  <si>
    <t>Program Lead</t>
  </si>
  <si>
    <t>Document received informally; awaiting final upload.</t>
  </si>
  <si>
    <t>EDU-004</t>
  </si>
  <si>
    <t>Avery Martin</t>
  </si>
  <si>
    <t>Term planning document</t>
  </si>
  <si>
    <t>Received on due date; naming convention checked.</t>
  </si>
  <si>
    <t>EDU-005</t>
  </si>
  <si>
    <t>Riley Patel</t>
  </si>
  <si>
    <t>Contact information update</t>
  </si>
  <si>
    <t>Pending</t>
  </si>
  <si>
    <t>Initial request sent.</t>
  </si>
  <si>
    <t>Educator Services Shared Inbox Workflow — Fictional Sample</t>
  </si>
  <si>
    <t>Email ID</t>
  </si>
  <si>
    <t>Sender Type</t>
  </si>
  <si>
    <t>Subject</t>
  </si>
  <si>
    <t>Category</t>
  </si>
  <si>
    <t>Priority</t>
  </si>
  <si>
    <t>Assigned To</t>
  </si>
  <si>
    <t>Response Due</t>
  </si>
  <si>
    <t>Response Date</t>
  </si>
  <si>
    <t>Days Open</t>
  </si>
  <si>
    <t>SLA Status</t>
  </si>
  <si>
    <t>EM-101</t>
  </si>
  <si>
    <t>Calendar access request</t>
  </si>
  <si>
    <t>Scheduling</t>
  </si>
  <si>
    <t>Normal</t>
  </si>
  <si>
    <t>In Progress</t>
  </si>
  <si>
    <t>EM-102</t>
  </si>
  <si>
    <t>Correction to confidential learner record</t>
  </si>
  <si>
    <t>Data correction</t>
  </si>
  <si>
    <t>High</t>
  </si>
  <si>
    <t>Escalated</t>
  </si>
  <si>
    <t>EM-103</t>
  </si>
  <si>
    <t>Internal Team</t>
  </si>
  <si>
    <t>Meeting agenda additions</t>
  </si>
  <si>
    <t>Meeting support</t>
  </si>
  <si>
    <t>Closed</t>
  </si>
  <si>
    <t>EM-104</t>
  </si>
  <si>
    <t>Where to upload monthly report</t>
  </si>
  <si>
    <t>Document support</t>
  </si>
  <si>
    <t>EM-105</t>
  </si>
  <si>
    <t>Applicant</t>
  </si>
  <si>
    <t>Educator Services process question</t>
  </si>
  <si>
    <t>General inquiry</t>
  </si>
  <si>
    <t>Low</t>
  </si>
  <si>
    <t>Educator Services</t>
  </si>
  <si>
    <t>Educator Services Meeting &amp; Action Log — Fictional Sample</t>
  </si>
  <si>
    <t>Meeting Date</t>
  </si>
  <si>
    <t>Meeting Type</t>
  </si>
  <si>
    <t>Agenda Item</t>
  </si>
  <si>
    <t>Decision / Notes</t>
  </si>
  <si>
    <t>Action Item</t>
  </si>
  <si>
    <t>Completed Date</t>
  </si>
  <si>
    <t>Follow-up</t>
  </si>
  <si>
    <t>Weekly Team</t>
  </si>
  <si>
    <t>Monthly data collection</t>
  </si>
  <si>
    <t>Use one standardized naming convention in Drive.</t>
  </si>
  <si>
    <t>Send updated file-naming guide.</t>
  </si>
  <si>
    <t>Complete</t>
  </si>
  <si>
    <t>Shared inbox coverage</t>
  </si>
  <si>
    <t>High-priority confidential items must be escalated the same day.</t>
  </si>
  <si>
    <t>Draft quick-reference triage guide.</t>
  </si>
  <si>
    <t>Program Check-in</t>
  </si>
  <si>
    <t>Educator availability</t>
  </si>
  <si>
    <t>Collect missing availability before calendar is finalized.</t>
  </si>
  <si>
    <t>Follow up with two educators.</t>
  </si>
  <si>
    <t>Restricted Drive folders</t>
  </si>
  <si>
    <t>Review access list monthly.</t>
  </si>
  <si>
    <t>Prepare access-review checklist.</t>
  </si>
  <si>
    <t>Not Started</t>
  </si>
  <si>
    <t>Administrative Support Work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</si>
</sst>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11"/>
      <color rgb="FF404040"/>
      <name val="Carlito"/>
    </font>
    <font>
      <b/>
      <i/>
      <sz val="11"/>
      <color rgb="FF7F6000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2"/>
      <name val="Carlito"/>
    </font>
    <font>
      <b/>
      <sz val="12"/>
      <color rgb="FF17365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53">
    <dxf>
      <font>
        <b/>
        <color rgb="FF5B2C6F"/>
      </font>
      <fill>
        <patternFill patternType="solid">
          <bgColor rgb="FFEADCF8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ADCF8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ADCF8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Open Workflow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Overview!$A$16:$A$20</c:f>
              <c:strCache>
                <c:ptCount val="5"/>
                <c:pt idx="0">
                  <c:v>Educator requests</c:v>
                </c:pt>
                <c:pt idx="1">
                  <c:v>Complete requests</c:v>
                </c:pt>
                <c:pt idx="2">
                  <c:v>Open inbox items</c:v>
                </c:pt>
                <c:pt idx="3">
                  <c:v>Overdue inbox items</c:v>
                </c:pt>
                <c:pt idx="4">
                  <c:v>Open meeting actions</c:v>
                </c:pt>
              </c:strCache>
            </c:strRef>
          </c:cat>
          <c:val>
            <c:numRef>
              <c:f>Overview!$B$16:$B$20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0-40B0-8DB1-B4BB5A8F1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catorDataTable" displayName="EducatorDataTable" ref="A2:N7" dataDxfId="52">
  <tableColumns count="14">
    <tableColumn id="1" xr3:uid="{00000000-0010-0000-0000-000001000000}" name="Request ID" dataDxfId="51"/>
    <tableColumn id="2" xr3:uid="{00000000-0010-0000-0000-000002000000}" name="Educator" dataDxfId="50"/>
    <tableColumn id="3" xr3:uid="{00000000-0010-0000-0000-000003000000}" name="Program" dataDxfId="49"/>
    <tableColumn id="4" xr3:uid="{00000000-0010-0000-0000-000004000000}" name="Data Requested" dataDxfId="48"/>
    <tableColumn id="5" xr3:uid="{00000000-0010-0000-0000-000005000000}" name="Date Requested" dataDxfId="47"/>
    <tableColumn id="6" xr3:uid="{00000000-0010-0000-0000-000006000000}" name="Due Date" dataDxfId="46"/>
    <tableColumn id="7" xr3:uid="{00000000-0010-0000-0000-000007000000}" name="Date Received" dataDxfId="45"/>
    <tableColumn id="8" xr3:uid="{00000000-0010-0000-0000-000008000000}" name="Quality Check" dataDxfId="44"/>
    <tableColumn id="9" xr3:uid="{00000000-0010-0000-0000-000009000000}" name="Follow-up Needed" dataDxfId="43"/>
    <tableColumn id="10" xr3:uid="{00000000-0010-0000-0000-00000A000000}" name="Owner" dataDxfId="42"/>
    <tableColumn id="11" xr3:uid="{00000000-0010-0000-0000-00000B000000}" name="Status" dataDxfId="41"/>
    <tableColumn id="12" xr3:uid="{00000000-0010-0000-0000-00000C000000}" name="Days Remaining" dataDxfId="40"/>
    <tableColumn id="13" xr3:uid="{00000000-0010-0000-0000-00000D000000}" name="Notes" dataDxfId="39"/>
    <tableColumn id="14" xr3:uid="{00000000-0010-0000-0000-00000E000000}" name="Confidential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boxWorkflowTable" displayName="InboxWorkflowTable" ref="A2:M7" dataDxfId="37">
  <tableColumns count="13">
    <tableColumn id="1" xr3:uid="{00000000-0010-0000-0100-000001000000}" name="Email ID" dataDxfId="36"/>
    <tableColumn id="2" xr3:uid="{00000000-0010-0000-0100-000002000000}" name="Date Received" dataDxfId="35"/>
    <tableColumn id="3" xr3:uid="{00000000-0010-0000-0100-000003000000}" name="Sender Type" dataDxfId="34"/>
    <tableColumn id="4" xr3:uid="{00000000-0010-0000-0100-000004000000}" name="Subject" dataDxfId="33"/>
    <tableColumn id="5" xr3:uid="{00000000-0010-0000-0100-000005000000}" name="Category" dataDxfId="32"/>
    <tableColumn id="6" xr3:uid="{00000000-0010-0000-0100-000006000000}" name="Priority" dataDxfId="31"/>
    <tableColumn id="7" xr3:uid="{00000000-0010-0000-0100-000007000000}" name="Confidential" dataDxfId="30"/>
    <tableColumn id="8" xr3:uid="{00000000-0010-0000-0100-000008000000}" name="Assigned To" dataDxfId="29"/>
    <tableColumn id="9" xr3:uid="{00000000-0010-0000-0100-000009000000}" name="Response Due" dataDxfId="28"/>
    <tableColumn id="10" xr3:uid="{00000000-0010-0000-0100-00000A000000}" name="Status" dataDxfId="27"/>
    <tableColumn id="11" xr3:uid="{00000000-0010-0000-0100-00000B000000}" name="Response Date" dataDxfId="26"/>
    <tableColumn id="12" xr3:uid="{00000000-0010-0000-0100-00000C000000}" name="Days Open" dataDxfId="25"/>
    <tableColumn id="13" xr3:uid="{00000000-0010-0000-0100-00000D000000}" name="SLA Status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etingActionsTable" displayName="MeetingActionsTable" ref="A2:K6" dataDxfId="23">
  <tableColumns count="11">
    <tableColumn id="1" xr3:uid="{00000000-0010-0000-0200-000001000000}" name="Meeting Date" dataDxfId="22"/>
    <tableColumn id="2" xr3:uid="{00000000-0010-0000-0200-000002000000}" name="Meeting Type" dataDxfId="21"/>
    <tableColumn id="3" xr3:uid="{00000000-0010-0000-0200-000003000000}" name="Agenda Item" dataDxfId="20"/>
    <tableColumn id="4" xr3:uid="{00000000-0010-0000-0200-000004000000}" name="Decision / Notes" dataDxfId="19"/>
    <tableColumn id="5" xr3:uid="{00000000-0010-0000-0200-000005000000}" name="Action Item" dataDxfId="18"/>
    <tableColumn id="6" xr3:uid="{00000000-0010-0000-0200-000006000000}" name="Owner" dataDxfId="17"/>
    <tableColumn id="7" xr3:uid="{00000000-0010-0000-0200-000007000000}" name="Due Date" dataDxfId="16"/>
    <tableColumn id="8" xr3:uid="{00000000-0010-0000-0200-000008000000}" name="Status" dataDxfId="15"/>
    <tableColumn id="9" xr3:uid="{00000000-0010-0000-0200-000009000000}" name="Completed Date" dataDxfId="14"/>
    <tableColumn id="10" xr3:uid="{00000000-0010-0000-0200-00000A000000}" name="Follow-up" dataDxfId="13"/>
    <tableColumn id="11" xr3:uid="{00000000-0010-0000-0200-00000B000000}" name="Confidential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D6" sqref="D6"/>
    </sheetView>
  </sheetViews>
  <sheetFormatPr defaultRowHeight="14"/>
  <cols>
    <col min="1" max="1" width="19.4140625" bestFit="1" customWidth="1"/>
    <col min="2" max="2" width="46" customWidth="1"/>
    <col min="3" max="3" width="37.25" customWidth="1"/>
  </cols>
  <sheetData>
    <row r="1" spans="1:3" ht="17.399999999999999" customHeight="1">
      <c r="A1" s="17" t="s">
        <v>127</v>
      </c>
      <c r="B1" s="17"/>
      <c r="C1" s="17"/>
    </row>
    <row r="2" spans="1:3" ht="17.399999999999999" customHeight="1">
      <c r="A2" s="17"/>
      <c r="B2" s="17"/>
      <c r="C2" s="17"/>
    </row>
    <row r="4" spans="1:3" ht="56">
      <c r="A4" s="9" t="s">
        <v>0</v>
      </c>
      <c r="B4" s="15" t="s">
        <v>1</v>
      </c>
    </row>
    <row r="5" spans="1:3" ht="25.4" customHeight="1">
      <c r="A5" s="9" t="s">
        <v>3</v>
      </c>
      <c r="B5" s="11">
        <v>46280</v>
      </c>
    </row>
    <row r="6" spans="1:3" ht="43.5">
      <c r="A6" s="10" t="s">
        <v>5</v>
      </c>
      <c r="B6" s="16" t="s">
        <v>6</v>
      </c>
    </row>
    <row r="7" spans="1:3" ht="42">
      <c r="A7" s="9" t="s">
        <v>8</v>
      </c>
      <c r="B7" s="15" t="s">
        <v>9</v>
      </c>
    </row>
    <row r="8" spans="1:3" ht="25.4" customHeight="1"/>
    <row r="9" spans="1:3" ht="25.4" customHeight="1">
      <c r="A9" s="18" t="s">
        <v>13</v>
      </c>
      <c r="B9" s="18"/>
      <c r="C9" s="18"/>
    </row>
    <row r="10" spans="1:3" ht="28">
      <c r="A10" s="14" t="s">
        <v>14</v>
      </c>
      <c r="B10" s="15" t="s">
        <v>15</v>
      </c>
      <c r="C10" s="15" t="s">
        <v>16</v>
      </c>
    </row>
    <row r="11" spans="1:3" ht="28">
      <c r="A11" s="14" t="s">
        <v>17</v>
      </c>
      <c r="B11" s="15" t="s">
        <v>18</v>
      </c>
      <c r="C11" s="15" t="s">
        <v>19</v>
      </c>
    </row>
    <row r="12" spans="1:3" ht="28">
      <c r="A12" s="14" t="s">
        <v>20</v>
      </c>
      <c r="B12" s="15" t="s">
        <v>21</v>
      </c>
      <c r="C12" s="15" t="s">
        <v>22</v>
      </c>
    </row>
    <row r="13" spans="1:3" ht="25.4" customHeight="1">
      <c r="A13" s="8"/>
      <c r="B13" s="8"/>
      <c r="C13" s="8"/>
    </row>
    <row r="14" spans="1:3" ht="25.4" customHeight="1">
      <c r="A14" s="8"/>
      <c r="B14" s="8"/>
      <c r="C14" s="8"/>
    </row>
    <row r="15" spans="1:3" ht="25.4" customHeight="1">
      <c r="A15" s="18" t="s">
        <v>2</v>
      </c>
      <c r="B15" s="18"/>
      <c r="C15" s="8"/>
    </row>
    <row r="16" spans="1:3" ht="25.4" customHeight="1">
      <c r="A16" s="9" t="s">
        <v>4</v>
      </c>
      <c r="B16" s="13">
        <f>COUNTA('Educator Data Tracker'!A3:A7)</f>
        <v>5</v>
      </c>
    </row>
    <row r="17" spans="1:3" ht="25.4" customHeight="1">
      <c r="A17" s="9" t="s">
        <v>7</v>
      </c>
      <c r="B17" s="13">
        <f>COUNTIF('Educator Data Tracker'!K3:K7,"Complete")</f>
        <v>2</v>
      </c>
    </row>
    <row r="18" spans="1:3" ht="25.4" customHeight="1">
      <c r="A18" s="9" t="s">
        <v>10</v>
      </c>
      <c r="B18" s="13">
        <f>COUNTIF('Shared Inbox Tracker'!J3:J7,"&lt;&gt;Closed")-COUNTBLANK('Shared Inbox Tracker'!A3:A7)</f>
        <v>3</v>
      </c>
    </row>
    <row r="19" spans="1:3" ht="25.4" customHeight="1">
      <c r="A19" s="9" t="s">
        <v>11</v>
      </c>
      <c r="B19" s="13">
        <f>COUNTIF('Shared Inbox Tracker'!M3:M7,"Overdue")</f>
        <v>1</v>
      </c>
    </row>
    <row r="20" spans="1:3" ht="25.4" customHeight="1">
      <c r="A20" s="9" t="s">
        <v>12</v>
      </c>
      <c r="B20" s="12">
        <f>COUNTIF('Meeting Actions'!H3:H6,"&lt;&gt;Complete")-COUNTBLANK('Meeting Actions'!A3:A6)</f>
        <v>3</v>
      </c>
      <c r="C20" s="8"/>
    </row>
  </sheetData>
  <mergeCells count="3">
    <mergeCell ref="A1:C2"/>
    <mergeCell ref="A9:C9"/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opLeftCell="D1" workbookViewId="0">
      <selection activeCell="M15" sqref="M15"/>
    </sheetView>
  </sheetViews>
  <sheetFormatPr defaultRowHeight="14"/>
  <cols>
    <col min="1" max="1" width="12" customWidth="1"/>
    <col min="2" max="2" width="18" customWidth="1"/>
    <col min="3" max="3" width="16" customWidth="1"/>
    <col min="4" max="4" width="24" customWidth="1"/>
    <col min="5" max="7" width="14" customWidth="1"/>
    <col min="8" max="10" width="16" customWidth="1"/>
    <col min="11" max="11" width="13" customWidth="1"/>
    <col min="12" max="12" width="14" customWidth="1"/>
    <col min="13" max="13" width="34" customWidth="1"/>
    <col min="14" max="14" width="13" customWidth="1"/>
  </cols>
  <sheetData>
    <row r="1" spans="1:14" ht="20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2.65" customHeight="1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</row>
    <row r="3" spans="1:14" s="7" customFormat="1">
      <c r="A3" s="5" t="s">
        <v>38</v>
      </c>
      <c r="B3" s="5" t="s">
        <v>39</v>
      </c>
      <c r="C3" s="5" t="s">
        <v>40</v>
      </c>
      <c r="D3" s="5" t="s">
        <v>41</v>
      </c>
      <c r="E3" s="6">
        <v>46272</v>
      </c>
      <c r="F3" s="6">
        <v>46277</v>
      </c>
      <c r="G3" s="6">
        <v>46276</v>
      </c>
      <c r="H3" s="5" t="s">
        <v>42</v>
      </c>
      <c r="I3" s="5" t="s">
        <v>43</v>
      </c>
      <c r="J3" s="5" t="s">
        <v>44</v>
      </c>
      <c r="K3" s="5" t="str">
        <f>IF(A3="","",IF(G3&lt;&gt;"","Complete",IF(F3&lt;Overview!$B$5,"Overdue",IF(F3-Overview!$B$5&lt;=2,"Due Soon","Pending"))))</f>
        <v>Complete</v>
      </c>
      <c r="L3" s="5" t="str">
        <f>IF(A3="","",IF(K3="Complete","",F3-Overview!$B$5))</f>
        <v/>
      </c>
      <c r="M3" s="5" t="s">
        <v>45</v>
      </c>
      <c r="N3" s="5" t="s">
        <v>46</v>
      </c>
    </row>
    <row r="4" spans="1:14" s="7" customFormat="1" ht="28">
      <c r="A4" s="5" t="s">
        <v>47</v>
      </c>
      <c r="B4" s="5" t="s">
        <v>48</v>
      </c>
      <c r="C4" s="5" t="s">
        <v>49</v>
      </c>
      <c r="D4" s="5" t="s">
        <v>50</v>
      </c>
      <c r="E4" s="6">
        <v>46273</v>
      </c>
      <c r="F4" s="6">
        <v>46279</v>
      </c>
      <c r="G4" s="6"/>
      <c r="H4" s="5" t="s">
        <v>51</v>
      </c>
      <c r="I4" s="5" t="s">
        <v>46</v>
      </c>
      <c r="J4" s="5" t="s">
        <v>44</v>
      </c>
      <c r="K4" s="5" t="str">
        <f>IF(A4="","",IF(G4&lt;&gt;"","Complete",IF(F4&lt;Overview!$B$5,"Overdue",IF(F4-Overview!$B$5&lt;=2,"Due Soon","Pending"))))</f>
        <v>Overdue</v>
      </c>
      <c r="L4" s="5">
        <f>IF(A4="","",IF(K4="Complete","",F4-Overview!$B$5))</f>
        <v>-1</v>
      </c>
      <c r="M4" s="5" t="s">
        <v>52</v>
      </c>
      <c r="N4" s="5" t="s">
        <v>43</v>
      </c>
    </row>
    <row r="5" spans="1:14" s="7" customFormat="1" ht="28">
      <c r="A5" s="5" t="s">
        <v>53</v>
      </c>
      <c r="B5" s="5" t="s">
        <v>54</v>
      </c>
      <c r="C5" s="5" t="s">
        <v>40</v>
      </c>
      <c r="D5" s="5" t="s">
        <v>55</v>
      </c>
      <c r="E5" s="6">
        <v>46275</v>
      </c>
      <c r="F5" s="6">
        <v>46282</v>
      </c>
      <c r="G5" s="6"/>
      <c r="H5" s="5" t="s">
        <v>56</v>
      </c>
      <c r="I5" s="5" t="s">
        <v>43</v>
      </c>
      <c r="J5" s="5" t="s">
        <v>57</v>
      </c>
      <c r="K5" s="5" t="str">
        <f>IF(A5="","",IF(G5&lt;&gt;"","Complete",IF(F5&lt;Overview!$B$5,"Overdue",IF(F5-Overview!$B$5&lt;=2,"Due Soon","Pending"))))</f>
        <v>Due Soon</v>
      </c>
      <c r="L5" s="5">
        <f>IF(A5="","",IF(K5="Complete","",F5-Overview!$B$5))</f>
        <v>2</v>
      </c>
      <c r="M5" s="5" t="s">
        <v>58</v>
      </c>
      <c r="N5" s="5" t="s">
        <v>46</v>
      </c>
    </row>
    <row r="6" spans="1:14" s="7" customFormat="1" ht="28">
      <c r="A6" s="5" t="s">
        <v>59</v>
      </c>
      <c r="B6" s="5" t="s">
        <v>60</v>
      </c>
      <c r="C6" s="5" t="s">
        <v>49</v>
      </c>
      <c r="D6" s="5" t="s">
        <v>61</v>
      </c>
      <c r="E6" s="6">
        <v>46274</v>
      </c>
      <c r="F6" s="6">
        <v>46280</v>
      </c>
      <c r="G6" s="6">
        <v>46280</v>
      </c>
      <c r="H6" s="5" t="s">
        <v>42</v>
      </c>
      <c r="I6" s="5" t="s">
        <v>43</v>
      </c>
      <c r="J6" s="5" t="s">
        <v>44</v>
      </c>
      <c r="K6" s="5" t="str">
        <f>IF(A6="","",IF(G6&lt;&gt;"","Complete",IF(F6&lt;Overview!$B$5,"Overdue",IF(F6-Overview!$B$5&lt;=2,"Due Soon","Pending"))))</f>
        <v>Complete</v>
      </c>
      <c r="L6" s="5" t="str">
        <f>IF(A6="","",IF(K6="Complete","",F6-Overview!$B$5))</f>
        <v/>
      </c>
      <c r="M6" s="5" t="s">
        <v>62</v>
      </c>
      <c r="N6" s="5" t="s">
        <v>43</v>
      </c>
    </row>
    <row r="7" spans="1:14" s="7" customFormat="1">
      <c r="A7" s="5" t="s">
        <v>63</v>
      </c>
      <c r="B7" s="5" t="s">
        <v>64</v>
      </c>
      <c r="C7" s="5" t="s">
        <v>40</v>
      </c>
      <c r="D7" s="5" t="s">
        <v>65</v>
      </c>
      <c r="E7" s="6">
        <v>46277</v>
      </c>
      <c r="F7" s="6">
        <v>46284</v>
      </c>
      <c r="G7" s="6"/>
      <c r="H7" s="5" t="s">
        <v>66</v>
      </c>
      <c r="I7" s="5" t="s">
        <v>43</v>
      </c>
      <c r="J7" s="5" t="s">
        <v>44</v>
      </c>
      <c r="K7" s="5" t="str">
        <f>IF(A7="","",IF(G7&lt;&gt;"","Complete",IF(F7&lt;Overview!$B$5,"Overdue",IF(F7-Overview!$B$5&lt;=2,"Due Soon","Pending"))))</f>
        <v>Pending</v>
      </c>
      <c r="L7" s="5">
        <f>IF(A7="","",IF(K7="Complete","",F7-Overview!$B$5))</f>
        <v>4</v>
      </c>
      <c r="M7" s="5" t="s">
        <v>67</v>
      </c>
      <c r="N7" s="5" t="s">
        <v>46</v>
      </c>
    </row>
    <row r="8" spans="1:14">
      <c r="A8" s="2"/>
      <c r="B8" s="2"/>
      <c r="C8" s="2"/>
      <c r="D8" s="2"/>
      <c r="E8" s="3"/>
      <c r="F8" s="3"/>
      <c r="G8" s="3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3"/>
      <c r="F9" s="3"/>
      <c r="G9" s="3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3"/>
      <c r="F10" s="3"/>
      <c r="G10" s="3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3"/>
      <c r="F11" s="3"/>
      <c r="G11" s="3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3"/>
      <c r="F12" s="3"/>
      <c r="G12" s="3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3"/>
      <c r="F13" s="3"/>
      <c r="G13" s="3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3"/>
      <c r="F14" s="3"/>
      <c r="G14" s="3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3"/>
      <c r="F15" s="3"/>
      <c r="G15" s="3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3"/>
      <c r="F16" s="3"/>
      <c r="G16" s="3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3"/>
      <c r="F17" s="3"/>
      <c r="G17" s="3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3"/>
      <c r="F18" s="3"/>
      <c r="G18" s="3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3"/>
      <c r="F19" s="3"/>
      <c r="G19" s="3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3"/>
      <c r="F20" s="3"/>
      <c r="G20" s="3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3"/>
      <c r="F21" s="3"/>
      <c r="G21" s="3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3"/>
      <c r="F22" s="3"/>
      <c r="G22" s="3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3"/>
      <c r="F23" s="3"/>
      <c r="G23" s="3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3"/>
      <c r="F24" s="3"/>
      <c r="G24" s="3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3"/>
      <c r="F25" s="3"/>
      <c r="G25" s="3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3"/>
      <c r="F26" s="3"/>
      <c r="G26" s="3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3"/>
      <c r="F27" s="3"/>
      <c r="G27" s="3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3"/>
      <c r="F28" s="3"/>
      <c r="G28" s="3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3"/>
      <c r="F29" s="3"/>
      <c r="G29" s="3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3"/>
      <c r="F30" s="3"/>
      <c r="G30" s="3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3"/>
      <c r="F31" s="3"/>
      <c r="G31" s="3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3"/>
      <c r="F32" s="3"/>
      <c r="G32" s="3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3"/>
      <c r="F33" s="3"/>
      <c r="G33" s="3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3"/>
      <c r="F34" s="3"/>
      <c r="G34" s="3"/>
      <c r="H34" s="2"/>
      <c r="I34" s="2"/>
      <c r="J34" s="2"/>
      <c r="K34" s="2"/>
      <c r="L34" s="2"/>
      <c r="M34" s="2"/>
      <c r="N34" s="2"/>
    </row>
  </sheetData>
  <mergeCells count="1">
    <mergeCell ref="A1:N1"/>
  </mergeCells>
  <conditionalFormatting sqref="K3:K34">
    <cfRule type="expression" dxfId="11" priority="1">
      <formula>K3="Overdue"</formula>
    </cfRule>
    <cfRule type="expression" dxfId="10" priority="2">
      <formula>K3="Due Soon"</formula>
    </cfRule>
    <cfRule type="expression" dxfId="9" priority="3">
      <formula>K3="Complete"</formula>
    </cfRule>
  </conditionalFormatting>
  <conditionalFormatting sqref="N3:N34">
    <cfRule type="expression" dxfId="8" priority="4">
      <formula>N3="Yes"</formula>
    </cfRule>
  </conditionalFormatting>
  <dataValidations count="4">
    <dataValidation type="list" sqref="C3:C34" xr:uid="{00000000-0002-0000-0100-000000000000}">
      <formula1>"K–7,Grades 8–12,Cross-program"</formula1>
    </dataValidation>
    <dataValidation type="list" sqref="H3:H34" xr:uid="{00000000-0002-0000-0100-000001000000}">
      <formula1>"Pending,Verified,Needs Review,Missing Fields"</formula1>
    </dataValidation>
    <dataValidation type="list" sqref="I3:I34 N3:N34" xr:uid="{00000000-0002-0000-0100-000002000000}">
      <formula1>"Yes,No"</formula1>
    </dataValidation>
    <dataValidation type="list" sqref="J3:J34" xr:uid="{00000000-0002-0000-0100-000003000000}">
      <formula1>"Shuchita,Program Lead,Educator Services"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F1" workbookViewId="0">
      <selection activeCell="L6" sqref="L6"/>
    </sheetView>
  </sheetViews>
  <sheetFormatPr defaultRowHeight="14"/>
  <cols>
    <col min="1" max="1" width="11" customWidth="1"/>
    <col min="2" max="2" width="14" customWidth="1"/>
    <col min="3" max="3" width="16" customWidth="1"/>
    <col min="4" max="4" width="32" customWidth="1"/>
    <col min="5" max="5" width="18" customWidth="1"/>
    <col min="6" max="6" width="12" customWidth="1"/>
    <col min="7" max="7" width="13" customWidth="1"/>
    <col min="8" max="8" width="17" customWidth="1"/>
    <col min="9" max="11" width="14" customWidth="1"/>
    <col min="12" max="12" width="11" customWidth="1"/>
    <col min="13" max="13" width="16" customWidth="1"/>
  </cols>
  <sheetData>
    <row r="1" spans="1:13" ht="20">
      <c r="A1" s="17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2.65" customHeight="1">
      <c r="A2" s="1" t="s">
        <v>69</v>
      </c>
      <c r="B2" s="1" t="s">
        <v>30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37</v>
      </c>
      <c r="H2" s="1" t="s">
        <v>74</v>
      </c>
      <c r="I2" s="1" t="s">
        <v>75</v>
      </c>
      <c r="J2" s="1" t="s">
        <v>34</v>
      </c>
      <c r="K2" s="1" t="s">
        <v>76</v>
      </c>
      <c r="L2" s="1" t="s">
        <v>77</v>
      </c>
      <c r="M2" s="1" t="s">
        <v>78</v>
      </c>
    </row>
    <row r="3" spans="1:13" s="4" customFormat="1" ht="22.65" customHeight="1">
      <c r="A3" s="5" t="s">
        <v>79</v>
      </c>
      <c r="B3" s="6">
        <v>46280</v>
      </c>
      <c r="C3" s="5" t="s">
        <v>25</v>
      </c>
      <c r="D3" s="5" t="s">
        <v>80</v>
      </c>
      <c r="E3" s="5" t="s">
        <v>81</v>
      </c>
      <c r="F3" s="5" t="s">
        <v>82</v>
      </c>
      <c r="G3" s="5" t="s">
        <v>43</v>
      </c>
      <c r="H3" s="5" t="s">
        <v>44</v>
      </c>
      <c r="I3" s="6">
        <v>46281</v>
      </c>
      <c r="J3" s="6" t="s">
        <v>83</v>
      </c>
      <c r="K3" s="6"/>
      <c r="L3" s="5">
        <f>IF(A3="","",IF(J3="Closed",K3-B3,Overview!$B$5-B3))</f>
        <v>0</v>
      </c>
      <c r="M3" s="5" t="str">
        <f>IF(A3="","",IF(J3="Closed","Closed",IF(I3&lt;Overview!$B$5,"Overdue",IF(I3-Overview!$B$5&lt;=1,"Due Today/Soon","On Track"))))</f>
        <v>Due Today/Soon</v>
      </c>
    </row>
    <row r="4" spans="1:13" s="4" customFormat="1" ht="22.65" customHeight="1">
      <c r="A4" s="5" t="s">
        <v>84</v>
      </c>
      <c r="B4" s="6">
        <v>46279</v>
      </c>
      <c r="C4" s="5" t="s">
        <v>25</v>
      </c>
      <c r="D4" s="5" t="s">
        <v>85</v>
      </c>
      <c r="E4" s="5" t="s">
        <v>86</v>
      </c>
      <c r="F4" s="5" t="s">
        <v>87</v>
      </c>
      <c r="G4" s="5" t="s">
        <v>46</v>
      </c>
      <c r="H4" s="5" t="s">
        <v>57</v>
      </c>
      <c r="I4" s="6">
        <v>46280</v>
      </c>
      <c r="J4" s="6" t="s">
        <v>88</v>
      </c>
      <c r="K4" s="6"/>
      <c r="L4" s="5">
        <f>IF(A4="","",IF(J4="Closed",K4-B4,Overview!$B$5-B4))</f>
        <v>1</v>
      </c>
      <c r="M4" s="5" t="str">
        <f>IF(A4="","",IF(J4="Closed","Closed",IF(I4&lt;Overview!$B$5,"Overdue",IF(I4-Overview!$B$5&lt;=1,"Due Today/Soon","On Track"))))</f>
        <v>Due Today/Soon</v>
      </c>
    </row>
    <row r="5" spans="1:13" s="4" customFormat="1" ht="22.65" customHeight="1">
      <c r="A5" s="5" t="s">
        <v>89</v>
      </c>
      <c r="B5" s="6">
        <v>46277</v>
      </c>
      <c r="C5" s="5" t="s">
        <v>90</v>
      </c>
      <c r="D5" s="5" t="s">
        <v>91</v>
      </c>
      <c r="E5" s="5" t="s">
        <v>92</v>
      </c>
      <c r="F5" s="5" t="s">
        <v>82</v>
      </c>
      <c r="G5" s="5" t="s">
        <v>43</v>
      </c>
      <c r="H5" s="5" t="s">
        <v>44</v>
      </c>
      <c r="I5" s="6">
        <v>46279</v>
      </c>
      <c r="J5" s="6" t="s">
        <v>93</v>
      </c>
      <c r="K5" s="6">
        <v>46278</v>
      </c>
      <c r="L5" s="5">
        <f>IF(A5="","",IF(J5="Closed",K5-B5,Overview!$B$5-B5))</f>
        <v>1</v>
      </c>
      <c r="M5" s="5" t="str">
        <f>IF(A5="","",IF(J5="Closed","Closed",IF(I5&lt;Overview!$B$5,"Overdue",IF(I5-Overview!$B$5&lt;=1,"Due Today/Soon","On Track"))))</f>
        <v>Closed</v>
      </c>
    </row>
    <row r="6" spans="1:13" s="4" customFormat="1" ht="22.65" customHeight="1">
      <c r="A6" s="5" t="s">
        <v>94</v>
      </c>
      <c r="B6" s="6">
        <v>46278</v>
      </c>
      <c r="C6" s="5" t="s">
        <v>25</v>
      </c>
      <c r="D6" s="5" t="s">
        <v>95</v>
      </c>
      <c r="E6" s="5" t="s">
        <v>96</v>
      </c>
      <c r="F6" s="5" t="s">
        <v>82</v>
      </c>
      <c r="G6" s="5" t="s">
        <v>43</v>
      </c>
      <c r="H6" s="5" t="s">
        <v>44</v>
      </c>
      <c r="I6" s="6">
        <v>46280</v>
      </c>
      <c r="J6" s="6" t="s">
        <v>93</v>
      </c>
      <c r="K6" s="6">
        <v>46279</v>
      </c>
      <c r="L6" s="5">
        <f>IF(A6="","",IF(J6="Closed",K6-B6,Overview!$B$5-B6))</f>
        <v>1</v>
      </c>
      <c r="M6" s="5" t="str">
        <f>IF(A6="","",IF(J6="Closed","Closed",IF(I6&lt;Overview!$B$5,"Overdue",IF(I6-Overview!$B$5&lt;=1,"Due Today/Soon","On Track"))))</f>
        <v>Closed</v>
      </c>
    </row>
    <row r="7" spans="1:13" s="4" customFormat="1" ht="22.65" customHeight="1">
      <c r="A7" s="5" t="s">
        <v>97</v>
      </c>
      <c r="B7" s="6">
        <v>46276</v>
      </c>
      <c r="C7" s="5" t="s">
        <v>98</v>
      </c>
      <c r="D7" s="5" t="s">
        <v>99</v>
      </c>
      <c r="E7" s="5" t="s">
        <v>100</v>
      </c>
      <c r="F7" s="5" t="s">
        <v>101</v>
      </c>
      <c r="G7" s="5" t="s">
        <v>43</v>
      </c>
      <c r="H7" s="5" t="s">
        <v>102</v>
      </c>
      <c r="I7" s="6">
        <v>46279</v>
      </c>
      <c r="J7" s="6" t="s">
        <v>83</v>
      </c>
      <c r="K7" s="6"/>
      <c r="L7" s="5">
        <f>IF(A7="","",IF(J7="Closed",K7-B7,Overview!$B$5-B7))</f>
        <v>4</v>
      </c>
      <c r="M7" s="5" t="str">
        <f>IF(A7="","",IF(J7="Closed","Closed",IF(I7&lt;Overview!$B$5,"Overdue",IF(I7-Overview!$B$5&lt;=1,"Due Today/Soon","On Track"))))</f>
        <v>Overdue</v>
      </c>
    </row>
    <row r="8" spans="1:13">
      <c r="A8" s="2"/>
      <c r="B8" s="3"/>
      <c r="C8" s="2"/>
      <c r="D8" s="2"/>
      <c r="E8" s="2"/>
      <c r="F8" s="2"/>
      <c r="G8" s="2"/>
      <c r="H8" s="2"/>
      <c r="I8" s="3"/>
      <c r="J8" s="3"/>
      <c r="K8" s="3"/>
      <c r="L8" s="2"/>
      <c r="M8" s="2"/>
    </row>
    <row r="9" spans="1:13">
      <c r="A9" s="2"/>
      <c r="B9" s="3"/>
      <c r="C9" s="2"/>
      <c r="D9" s="2"/>
      <c r="E9" s="2"/>
      <c r="F9" s="2"/>
      <c r="G9" s="2"/>
      <c r="H9" s="2"/>
      <c r="I9" s="3"/>
      <c r="J9" s="3"/>
      <c r="K9" s="3"/>
      <c r="L9" s="2"/>
      <c r="M9" s="2"/>
    </row>
    <row r="10" spans="1:13">
      <c r="A10" s="2"/>
      <c r="B10" s="3"/>
      <c r="C10" s="2"/>
      <c r="D10" s="2"/>
      <c r="E10" s="2"/>
      <c r="F10" s="2"/>
      <c r="G10" s="2"/>
      <c r="H10" s="2"/>
      <c r="I10" s="3"/>
      <c r="J10" s="3"/>
      <c r="K10" s="3"/>
      <c r="L10" s="2"/>
      <c r="M10" s="2"/>
    </row>
    <row r="11" spans="1:13">
      <c r="A11" s="2"/>
      <c r="B11" s="3"/>
      <c r="C11" s="2"/>
      <c r="D11" s="2"/>
      <c r="E11" s="2"/>
      <c r="F11" s="2"/>
      <c r="G11" s="2"/>
      <c r="H11" s="2"/>
      <c r="I11" s="3"/>
      <c r="J11" s="3"/>
      <c r="K11" s="3"/>
      <c r="L11" s="2"/>
      <c r="M11" s="2"/>
    </row>
    <row r="12" spans="1:13">
      <c r="A12" s="2"/>
      <c r="B12" s="3"/>
      <c r="C12" s="2"/>
      <c r="D12" s="2"/>
      <c r="E12" s="2"/>
      <c r="F12" s="2"/>
      <c r="G12" s="2"/>
      <c r="H12" s="2"/>
      <c r="I12" s="3"/>
      <c r="J12" s="3"/>
      <c r="K12" s="3"/>
      <c r="L12" s="2"/>
      <c r="M12" s="2"/>
    </row>
    <row r="13" spans="1:13">
      <c r="A13" s="2"/>
      <c r="B13" s="3"/>
      <c r="C13" s="2"/>
      <c r="D13" s="2"/>
      <c r="E13" s="2"/>
      <c r="F13" s="2"/>
      <c r="G13" s="2"/>
      <c r="H13" s="2"/>
      <c r="I13" s="3"/>
      <c r="J13" s="3"/>
      <c r="K13" s="3"/>
      <c r="L13" s="2"/>
      <c r="M13" s="2"/>
    </row>
    <row r="14" spans="1:13">
      <c r="A14" s="2"/>
      <c r="B14" s="3"/>
      <c r="C14" s="2"/>
      <c r="D14" s="2"/>
      <c r="E14" s="2"/>
      <c r="F14" s="2"/>
      <c r="G14" s="2"/>
      <c r="H14" s="2"/>
      <c r="I14" s="3"/>
      <c r="J14" s="3"/>
      <c r="K14" s="3"/>
      <c r="L14" s="2"/>
      <c r="M14" s="2"/>
    </row>
    <row r="15" spans="1:13">
      <c r="A15" s="2"/>
      <c r="B15" s="3"/>
      <c r="C15" s="2"/>
      <c r="D15" s="2"/>
      <c r="E15" s="2"/>
      <c r="F15" s="2"/>
      <c r="G15" s="2"/>
      <c r="H15" s="2"/>
      <c r="I15" s="3"/>
      <c r="J15" s="3"/>
      <c r="K15" s="3"/>
      <c r="L15" s="2"/>
      <c r="M15" s="2"/>
    </row>
    <row r="16" spans="1:13">
      <c r="A16" s="2"/>
      <c r="B16" s="3"/>
      <c r="C16" s="2"/>
      <c r="D16" s="2"/>
      <c r="E16" s="2"/>
      <c r="F16" s="2"/>
      <c r="G16" s="2"/>
      <c r="H16" s="2"/>
      <c r="I16" s="3"/>
      <c r="J16" s="3"/>
      <c r="K16" s="3"/>
      <c r="L16" s="2"/>
      <c r="M16" s="2"/>
    </row>
    <row r="17" spans="1:13">
      <c r="A17" s="2"/>
      <c r="B17" s="3"/>
      <c r="C17" s="2"/>
      <c r="D17" s="2"/>
      <c r="E17" s="2"/>
      <c r="F17" s="2"/>
      <c r="G17" s="2"/>
      <c r="H17" s="2"/>
      <c r="I17" s="3"/>
      <c r="J17" s="3"/>
      <c r="K17" s="3"/>
      <c r="L17" s="2"/>
      <c r="M17" s="2"/>
    </row>
    <row r="18" spans="1:13">
      <c r="A18" s="2"/>
      <c r="B18" s="3"/>
      <c r="C18" s="2"/>
      <c r="D18" s="2"/>
      <c r="E18" s="2"/>
      <c r="F18" s="2"/>
      <c r="G18" s="2"/>
      <c r="H18" s="2"/>
      <c r="I18" s="3"/>
      <c r="J18" s="3"/>
      <c r="K18" s="3"/>
      <c r="L18" s="2"/>
      <c r="M18" s="2"/>
    </row>
    <row r="19" spans="1:13">
      <c r="A19" s="2"/>
      <c r="B19" s="3"/>
      <c r="C19" s="2"/>
      <c r="D19" s="2"/>
      <c r="E19" s="2"/>
      <c r="F19" s="2"/>
      <c r="G19" s="2"/>
      <c r="H19" s="2"/>
      <c r="I19" s="3"/>
      <c r="J19" s="3"/>
      <c r="K19" s="3"/>
      <c r="L19" s="2"/>
      <c r="M19" s="2"/>
    </row>
    <row r="20" spans="1:13">
      <c r="A20" s="2"/>
      <c r="B20" s="3"/>
      <c r="C20" s="2"/>
      <c r="D20" s="2"/>
      <c r="E20" s="2"/>
      <c r="F20" s="2"/>
      <c r="G20" s="2"/>
      <c r="H20" s="2"/>
      <c r="I20" s="3"/>
      <c r="J20" s="3"/>
      <c r="K20" s="3"/>
      <c r="L20" s="2"/>
      <c r="M20" s="2"/>
    </row>
    <row r="21" spans="1:13">
      <c r="A21" s="2"/>
      <c r="B21" s="3"/>
      <c r="C21" s="2"/>
      <c r="D21" s="2"/>
      <c r="E21" s="2"/>
      <c r="F21" s="2"/>
      <c r="G21" s="2"/>
      <c r="H21" s="2"/>
      <c r="I21" s="3"/>
      <c r="J21" s="3"/>
      <c r="K21" s="3"/>
      <c r="L21" s="2"/>
      <c r="M21" s="2"/>
    </row>
    <row r="22" spans="1:13">
      <c r="A22" s="2"/>
      <c r="B22" s="3"/>
      <c r="C22" s="2"/>
      <c r="D22" s="2"/>
      <c r="E22" s="2"/>
      <c r="F22" s="2"/>
      <c r="G22" s="2"/>
      <c r="H22" s="2"/>
      <c r="I22" s="3"/>
      <c r="J22" s="3"/>
      <c r="K22" s="3"/>
      <c r="L22" s="2"/>
      <c r="M22" s="2"/>
    </row>
    <row r="23" spans="1:13">
      <c r="A23" s="2"/>
      <c r="B23" s="3"/>
      <c r="C23" s="2"/>
      <c r="D23" s="2"/>
      <c r="E23" s="2"/>
      <c r="F23" s="2"/>
      <c r="G23" s="2"/>
      <c r="H23" s="2"/>
      <c r="I23" s="3"/>
      <c r="J23" s="3"/>
      <c r="K23" s="3"/>
      <c r="L23" s="2"/>
      <c r="M23" s="2"/>
    </row>
    <row r="24" spans="1:13">
      <c r="A24" s="2"/>
      <c r="B24" s="3"/>
      <c r="C24" s="2"/>
      <c r="D24" s="2"/>
      <c r="E24" s="2"/>
      <c r="F24" s="2"/>
      <c r="G24" s="2"/>
      <c r="H24" s="2"/>
      <c r="I24" s="3"/>
      <c r="J24" s="3"/>
      <c r="K24" s="3"/>
      <c r="L24" s="2"/>
      <c r="M24" s="2"/>
    </row>
    <row r="25" spans="1:13">
      <c r="A25" s="2"/>
      <c r="B25" s="3"/>
      <c r="C25" s="2"/>
      <c r="D25" s="2"/>
      <c r="E25" s="2"/>
      <c r="F25" s="2"/>
      <c r="G25" s="2"/>
      <c r="H25" s="2"/>
      <c r="I25" s="3"/>
      <c r="J25" s="3"/>
      <c r="K25" s="3"/>
      <c r="L25" s="2"/>
      <c r="M25" s="2"/>
    </row>
    <row r="26" spans="1:13">
      <c r="A26" s="2"/>
      <c r="B26" s="3"/>
      <c r="C26" s="2"/>
      <c r="D26" s="2"/>
      <c r="E26" s="2"/>
      <c r="F26" s="2"/>
      <c r="G26" s="2"/>
      <c r="H26" s="2"/>
      <c r="I26" s="3"/>
      <c r="J26" s="3"/>
      <c r="K26" s="3"/>
      <c r="L26" s="2"/>
      <c r="M26" s="2"/>
    </row>
    <row r="27" spans="1:13">
      <c r="A27" s="2"/>
      <c r="B27" s="3"/>
      <c r="C27" s="2"/>
      <c r="D27" s="2"/>
      <c r="E27" s="2"/>
      <c r="F27" s="2"/>
      <c r="G27" s="2"/>
      <c r="H27" s="2"/>
      <c r="I27" s="3"/>
      <c r="J27" s="3"/>
      <c r="K27" s="3"/>
      <c r="L27" s="2"/>
      <c r="M27" s="2"/>
    </row>
    <row r="28" spans="1:13">
      <c r="A28" s="2"/>
      <c r="B28" s="3"/>
      <c r="C28" s="2"/>
      <c r="D28" s="2"/>
      <c r="E28" s="2"/>
      <c r="F28" s="2"/>
      <c r="G28" s="2"/>
      <c r="H28" s="2"/>
      <c r="I28" s="3"/>
      <c r="J28" s="3"/>
      <c r="K28" s="3"/>
      <c r="L28" s="2"/>
      <c r="M28" s="2"/>
    </row>
    <row r="29" spans="1:13">
      <c r="A29" s="2"/>
      <c r="B29" s="3"/>
      <c r="C29" s="2"/>
      <c r="D29" s="2"/>
      <c r="E29" s="2"/>
      <c r="F29" s="2"/>
      <c r="G29" s="2"/>
      <c r="H29" s="2"/>
      <c r="I29" s="3"/>
      <c r="J29" s="3"/>
      <c r="K29" s="3"/>
      <c r="L29" s="2"/>
      <c r="M29" s="2"/>
    </row>
    <row r="30" spans="1:13">
      <c r="A30" s="2"/>
      <c r="B30" s="3"/>
      <c r="C30" s="2"/>
      <c r="D30" s="2"/>
      <c r="E30" s="2"/>
      <c r="F30" s="2"/>
      <c r="G30" s="2"/>
      <c r="H30" s="2"/>
      <c r="I30" s="3"/>
      <c r="J30" s="3"/>
      <c r="K30" s="3"/>
      <c r="L30" s="2"/>
      <c r="M30" s="2"/>
    </row>
    <row r="31" spans="1:13">
      <c r="A31" s="2"/>
      <c r="B31" s="3"/>
      <c r="C31" s="2"/>
      <c r="D31" s="2"/>
      <c r="E31" s="2"/>
      <c r="F31" s="2"/>
      <c r="G31" s="2"/>
      <c r="H31" s="2"/>
      <c r="I31" s="3"/>
      <c r="J31" s="3"/>
      <c r="K31" s="3"/>
      <c r="L31" s="2"/>
      <c r="M31" s="2"/>
    </row>
    <row r="32" spans="1:13">
      <c r="A32" s="2"/>
      <c r="B32" s="3"/>
      <c r="C32" s="2"/>
      <c r="D32" s="2"/>
      <c r="E32" s="2"/>
      <c r="F32" s="2"/>
      <c r="G32" s="2"/>
      <c r="H32" s="2"/>
      <c r="I32" s="3"/>
      <c r="J32" s="3"/>
      <c r="K32" s="3"/>
      <c r="L32" s="2"/>
      <c r="M32" s="2"/>
    </row>
    <row r="33" spans="1:13">
      <c r="A33" s="2"/>
      <c r="B33" s="3"/>
      <c r="C33" s="2"/>
      <c r="D33" s="2"/>
      <c r="E33" s="2"/>
      <c r="F33" s="2"/>
      <c r="G33" s="2"/>
      <c r="H33" s="2"/>
      <c r="I33" s="3"/>
      <c r="J33" s="3"/>
      <c r="K33" s="3"/>
      <c r="L33" s="2"/>
      <c r="M33" s="2"/>
    </row>
    <row r="34" spans="1:13">
      <c r="A34" s="2"/>
      <c r="B34" s="3"/>
      <c r="C34" s="2"/>
      <c r="D34" s="2"/>
      <c r="E34" s="2"/>
      <c r="F34" s="2"/>
      <c r="G34" s="2"/>
      <c r="H34" s="2"/>
      <c r="I34" s="3"/>
      <c r="J34" s="3"/>
      <c r="K34" s="3"/>
      <c r="L34" s="2"/>
      <c r="M34" s="2"/>
    </row>
  </sheetData>
  <mergeCells count="1">
    <mergeCell ref="A1:M1"/>
  </mergeCells>
  <conditionalFormatting sqref="F3:F34">
    <cfRule type="expression" dxfId="7" priority="1">
      <formula>F3="High"</formula>
    </cfRule>
  </conditionalFormatting>
  <conditionalFormatting sqref="G3:G34">
    <cfRule type="expression" dxfId="6" priority="4">
      <formula>G3="Yes"</formula>
    </cfRule>
  </conditionalFormatting>
  <conditionalFormatting sqref="M3:M34">
    <cfRule type="expression" dxfId="5" priority="2">
      <formula>M3="Overdue"</formula>
    </cfRule>
    <cfRule type="expression" dxfId="4" priority="3">
      <formula>M3="Due Today/Soon"</formula>
    </cfRule>
  </conditionalFormatting>
  <dataValidations count="6">
    <dataValidation type="list" sqref="C3:C34" xr:uid="{00000000-0002-0000-0200-000000000000}">
      <formula1>"Educator,Internal Team,Applicant,Public,Partner"</formula1>
    </dataValidation>
    <dataValidation type="list" sqref="E3:E34" xr:uid="{00000000-0002-0000-0200-000001000000}">
      <formula1>"Scheduling,Data correction,Meeting support,Document support,General inquiry,Technical support"</formula1>
    </dataValidation>
    <dataValidation type="list" sqref="F3:F34" xr:uid="{00000000-0002-0000-0200-000002000000}">
      <formula1>"High,Normal,Low"</formula1>
    </dataValidation>
    <dataValidation type="list" sqref="G3:G34" xr:uid="{00000000-0002-0000-0200-000003000000}">
      <formula1>"Yes,No"</formula1>
    </dataValidation>
    <dataValidation type="list" sqref="H3:H34" xr:uid="{00000000-0002-0000-0200-000004000000}">
      <formula1>"Shuchita,Program Lead,Educator Services"</formula1>
    </dataValidation>
    <dataValidation type="list" sqref="J3:J34" xr:uid="{00000000-0002-0000-0200-000005000000}">
      <formula1>"New,In Progress,Waiting,Escalated,Closed"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A6" sqref="A6"/>
    </sheetView>
  </sheetViews>
  <sheetFormatPr defaultRowHeight="14"/>
  <cols>
    <col min="1" max="1" width="14" customWidth="1"/>
    <col min="2" max="2" width="18" customWidth="1"/>
    <col min="3" max="3" width="25" customWidth="1"/>
    <col min="4" max="4" width="38" customWidth="1"/>
    <col min="5" max="5" width="30" customWidth="1"/>
    <col min="6" max="6" width="17" customWidth="1"/>
    <col min="7" max="8" width="14" customWidth="1"/>
    <col min="9" max="9" width="15" customWidth="1"/>
    <col min="10" max="10" width="17" customWidth="1"/>
    <col min="11" max="11" width="13" customWidth="1"/>
  </cols>
  <sheetData>
    <row r="1" spans="1:11" ht="20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5.4" customHeight="1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33</v>
      </c>
      <c r="G2" s="1" t="s">
        <v>29</v>
      </c>
      <c r="H2" s="1" t="s">
        <v>34</v>
      </c>
      <c r="I2" s="1" t="s">
        <v>109</v>
      </c>
      <c r="J2" s="1" t="s">
        <v>110</v>
      </c>
      <c r="K2" s="1" t="s">
        <v>37</v>
      </c>
    </row>
    <row r="3" spans="1:11" s="7" customFormat="1" ht="25.4" customHeight="1">
      <c r="A3" s="6">
        <v>46275</v>
      </c>
      <c r="B3" s="5" t="s">
        <v>111</v>
      </c>
      <c r="C3" s="5" t="s">
        <v>112</v>
      </c>
      <c r="D3" s="5" t="s">
        <v>113</v>
      </c>
      <c r="E3" s="5" t="s">
        <v>114</v>
      </c>
      <c r="F3" s="5" t="s">
        <v>44</v>
      </c>
      <c r="G3" s="6">
        <v>46277</v>
      </c>
      <c r="H3" s="5" t="s">
        <v>115</v>
      </c>
      <c r="I3" s="6">
        <v>46276</v>
      </c>
      <c r="J3" s="5" t="str">
        <f>IF(A3="","",IF(H3="Complete","No",IF(G3&lt;Overview!$B$5,"Yes - Overdue",IF(G3-Overview!$B$5&lt;=2,"Yes - Due Soon","No"))))</f>
        <v>No</v>
      </c>
      <c r="K3" s="5" t="s">
        <v>43</v>
      </c>
    </row>
    <row r="4" spans="1:11" s="7" customFormat="1" ht="25.4" customHeight="1">
      <c r="A4" s="6">
        <v>46275</v>
      </c>
      <c r="B4" s="5" t="s">
        <v>111</v>
      </c>
      <c r="C4" s="5" t="s">
        <v>116</v>
      </c>
      <c r="D4" s="5" t="s">
        <v>117</v>
      </c>
      <c r="E4" s="5" t="s">
        <v>118</v>
      </c>
      <c r="F4" s="5" t="s">
        <v>44</v>
      </c>
      <c r="G4" s="6">
        <v>46281</v>
      </c>
      <c r="H4" s="5" t="s">
        <v>83</v>
      </c>
      <c r="I4" s="6"/>
      <c r="J4" s="5" t="str">
        <f>IF(A4="","",IF(H4="Complete","No",IF(G4&lt;Overview!$B$5,"Yes - Overdue",IF(G4-Overview!$B$5&lt;=2,"Yes - Due Soon","No"))))</f>
        <v>Yes - Due Soon</v>
      </c>
      <c r="K4" s="5" t="s">
        <v>46</v>
      </c>
    </row>
    <row r="5" spans="1:11" s="7" customFormat="1" ht="25.4" customHeight="1">
      <c r="A5" s="6">
        <v>46277</v>
      </c>
      <c r="B5" s="5" t="s">
        <v>119</v>
      </c>
      <c r="C5" s="5" t="s">
        <v>120</v>
      </c>
      <c r="D5" s="5" t="s">
        <v>121</v>
      </c>
      <c r="E5" s="5" t="s">
        <v>122</v>
      </c>
      <c r="F5" s="5" t="s">
        <v>44</v>
      </c>
      <c r="G5" s="6">
        <v>46280</v>
      </c>
      <c r="H5" s="5" t="s">
        <v>83</v>
      </c>
      <c r="I5" s="6"/>
      <c r="J5" s="5" t="str">
        <f>IF(A5="","",IF(H5="Complete","No",IF(G5&lt;Overview!$B$5,"Yes - Overdue",IF(G5-Overview!$B$5&lt;=2,"Yes - Due Soon","No"))))</f>
        <v>Yes - Due Soon</v>
      </c>
      <c r="K5" s="5" t="s">
        <v>43</v>
      </c>
    </row>
    <row r="6" spans="1:11" s="7" customFormat="1" ht="25.4" customHeight="1">
      <c r="A6" s="6">
        <v>46277</v>
      </c>
      <c r="B6" s="5" t="s">
        <v>119</v>
      </c>
      <c r="C6" s="5" t="s">
        <v>123</v>
      </c>
      <c r="D6" s="5" t="s">
        <v>124</v>
      </c>
      <c r="E6" s="5" t="s">
        <v>125</v>
      </c>
      <c r="F6" s="5" t="s">
        <v>57</v>
      </c>
      <c r="G6" s="6">
        <v>46284</v>
      </c>
      <c r="H6" s="5" t="s">
        <v>126</v>
      </c>
      <c r="I6" s="6"/>
      <c r="J6" s="5" t="str">
        <f>IF(A6="","",IF(H6="Complete","No",IF(G6&lt;Overview!$B$5,"Yes - Overdue",IF(G6-Overview!$B$5&lt;=2,"Yes - Due Soon","No"))))</f>
        <v>No</v>
      </c>
      <c r="K6" s="5" t="s">
        <v>46</v>
      </c>
    </row>
    <row r="7" spans="1:11">
      <c r="A7" s="3"/>
      <c r="B7" s="2"/>
      <c r="C7" s="2"/>
      <c r="D7" s="2"/>
      <c r="E7" s="2"/>
      <c r="F7" s="2"/>
      <c r="G7" s="3"/>
      <c r="H7" s="2"/>
      <c r="I7" s="3"/>
      <c r="J7" s="2"/>
      <c r="K7" s="2"/>
    </row>
    <row r="8" spans="1:11">
      <c r="A8" s="3"/>
      <c r="B8" s="2"/>
      <c r="C8" s="2"/>
      <c r="D8" s="2"/>
      <c r="E8" s="2"/>
      <c r="F8" s="2"/>
      <c r="G8" s="3"/>
      <c r="H8" s="2"/>
      <c r="I8" s="3"/>
      <c r="J8" s="2"/>
      <c r="K8" s="2"/>
    </row>
    <row r="9" spans="1:11">
      <c r="A9" s="3"/>
      <c r="B9" s="2"/>
      <c r="C9" s="2"/>
      <c r="D9" s="2"/>
      <c r="E9" s="2"/>
      <c r="F9" s="2"/>
      <c r="G9" s="3"/>
      <c r="H9" s="2"/>
      <c r="I9" s="3"/>
      <c r="J9" s="2"/>
      <c r="K9" s="2"/>
    </row>
    <row r="10" spans="1:11">
      <c r="A10" s="3"/>
      <c r="B10" s="2"/>
      <c r="C10" s="2"/>
      <c r="D10" s="2"/>
      <c r="E10" s="2"/>
      <c r="F10" s="2"/>
      <c r="G10" s="3"/>
      <c r="H10" s="2"/>
      <c r="I10" s="3"/>
      <c r="J10" s="2"/>
      <c r="K10" s="2"/>
    </row>
    <row r="11" spans="1:11">
      <c r="A11" s="3"/>
      <c r="B11" s="2"/>
      <c r="C11" s="2"/>
      <c r="D11" s="2"/>
      <c r="E11" s="2"/>
      <c r="F11" s="2"/>
      <c r="G11" s="3"/>
      <c r="H11" s="2"/>
      <c r="I11" s="3"/>
      <c r="J11" s="2"/>
      <c r="K11" s="2"/>
    </row>
    <row r="12" spans="1:11">
      <c r="A12" s="3"/>
      <c r="B12" s="2"/>
      <c r="C12" s="2"/>
      <c r="D12" s="2"/>
      <c r="E12" s="2"/>
      <c r="F12" s="2"/>
      <c r="G12" s="3"/>
      <c r="H12" s="2"/>
      <c r="I12" s="3"/>
      <c r="J12" s="2"/>
      <c r="K12" s="2"/>
    </row>
    <row r="13" spans="1:11">
      <c r="A13" s="3"/>
      <c r="B13" s="2"/>
      <c r="C13" s="2"/>
      <c r="D13" s="2"/>
      <c r="E13" s="2"/>
      <c r="F13" s="2"/>
      <c r="G13" s="3"/>
      <c r="H13" s="2"/>
      <c r="I13" s="3"/>
      <c r="J13" s="2"/>
      <c r="K13" s="2"/>
    </row>
    <row r="14" spans="1:11">
      <c r="A14" s="3"/>
      <c r="B14" s="2"/>
      <c r="C14" s="2"/>
      <c r="D14" s="2"/>
      <c r="E14" s="2"/>
      <c r="F14" s="2"/>
      <c r="G14" s="3"/>
      <c r="H14" s="2"/>
      <c r="I14" s="3"/>
      <c r="J14" s="2"/>
      <c r="K14" s="2"/>
    </row>
    <row r="15" spans="1:11">
      <c r="A15" s="3"/>
      <c r="B15" s="2"/>
      <c r="C15" s="2"/>
      <c r="D15" s="2"/>
      <c r="E15" s="2"/>
      <c r="F15" s="2"/>
      <c r="G15" s="3"/>
      <c r="H15" s="2"/>
      <c r="I15" s="3"/>
      <c r="J15" s="2"/>
      <c r="K15" s="2"/>
    </row>
    <row r="16" spans="1:11">
      <c r="A16" s="3"/>
      <c r="B16" s="2"/>
      <c r="C16" s="2"/>
      <c r="D16" s="2"/>
      <c r="E16" s="2"/>
      <c r="F16" s="2"/>
      <c r="G16" s="3"/>
      <c r="H16" s="2"/>
      <c r="I16" s="3"/>
      <c r="J16" s="2"/>
      <c r="K16" s="2"/>
    </row>
    <row r="17" spans="1:11">
      <c r="A17" s="3"/>
      <c r="B17" s="2"/>
      <c r="C17" s="2"/>
      <c r="D17" s="2"/>
      <c r="E17" s="2"/>
      <c r="F17" s="2"/>
      <c r="G17" s="3"/>
      <c r="H17" s="2"/>
      <c r="I17" s="3"/>
      <c r="J17" s="2"/>
      <c r="K17" s="2"/>
    </row>
    <row r="18" spans="1:11">
      <c r="A18" s="3"/>
      <c r="B18" s="2"/>
      <c r="C18" s="2"/>
      <c r="D18" s="2"/>
      <c r="E18" s="2"/>
      <c r="F18" s="2"/>
      <c r="G18" s="3"/>
      <c r="H18" s="2"/>
      <c r="I18" s="3"/>
      <c r="J18" s="2"/>
      <c r="K18" s="2"/>
    </row>
    <row r="19" spans="1:11">
      <c r="A19" s="3"/>
      <c r="B19" s="2"/>
      <c r="C19" s="2"/>
      <c r="D19" s="2"/>
      <c r="E19" s="2"/>
      <c r="F19" s="2"/>
      <c r="G19" s="3"/>
      <c r="H19" s="2"/>
      <c r="I19" s="3"/>
      <c r="J19" s="2"/>
      <c r="K19" s="2"/>
    </row>
    <row r="20" spans="1:11">
      <c r="A20" s="3"/>
      <c r="B20" s="2"/>
      <c r="C20" s="2"/>
      <c r="D20" s="2"/>
      <c r="E20" s="2"/>
      <c r="F20" s="2"/>
      <c r="G20" s="3"/>
      <c r="H20" s="2"/>
      <c r="I20" s="3"/>
      <c r="J20" s="2"/>
      <c r="K20" s="2"/>
    </row>
    <row r="21" spans="1:11">
      <c r="A21" s="3"/>
      <c r="B21" s="2"/>
      <c r="C21" s="2"/>
      <c r="D21" s="2"/>
      <c r="E21" s="2"/>
      <c r="F21" s="2"/>
      <c r="G21" s="3"/>
      <c r="H21" s="2"/>
      <c r="I21" s="3"/>
      <c r="J21" s="2"/>
      <c r="K21" s="2"/>
    </row>
    <row r="22" spans="1:11">
      <c r="A22" s="3"/>
      <c r="B22" s="2"/>
      <c r="C22" s="2"/>
      <c r="D22" s="2"/>
      <c r="E22" s="2"/>
      <c r="F22" s="2"/>
      <c r="G22" s="3"/>
      <c r="H22" s="2"/>
      <c r="I22" s="3"/>
      <c r="J22" s="2"/>
      <c r="K22" s="2"/>
    </row>
    <row r="23" spans="1:11">
      <c r="A23" s="3"/>
      <c r="B23" s="2"/>
      <c r="C23" s="2"/>
      <c r="D23" s="2"/>
      <c r="E23" s="2"/>
      <c r="F23" s="2"/>
      <c r="G23" s="3"/>
      <c r="H23" s="2"/>
      <c r="I23" s="3"/>
      <c r="J23" s="2"/>
      <c r="K23" s="2"/>
    </row>
    <row r="24" spans="1:11">
      <c r="A24" s="3"/>
      <c r="B24" s="2"/>
      <c r="C24" s="2"/>
      <c r="D24" s="2"/>
      <c r="E24" s="2"/>
      <c r="F24" s="2"/>
      <c r="G24" s="3"/>
      <c r="H24" s="2"/>
      <c r="I24" s="3"/>
      <c r="J24" s="2"/>
      <c r="K24" s="2"/>
    </row>
    <row r="25" spans="1:11">
      <c r="A25" s="3"/>
      <c r="B25" s="2"/>
      <c r="C25" s="2"/>
      <c r="D25" s="2"/>
      <c r="E25" s="2"/>
      <c r="F25" s="2"/>
      <c r="G25" s="3"/>
      <c r="H25" s="2"/>
      <c r="I25" s="3"/>
      <c r="J25" s="2"/>
      <c r="K25" s="2"/>
    </row>
    <row r="26" spans="1:11">
      <c r="A26" s="3"/>
      <c r="B26" s="2"/>
      <c r="C26" s="2"/>
      <c r="D26" s="2"/>
      <c r="E26" s="2"/>
      <c r="F26" s="2"/>
      <c r="G26" s="3"/>
      <c r="H26" s="2"/>
      <c r="I26" s="3"/>
      <c r="J26" s="2"/>
      <c r="K26" s="2"/>
    </row>
    <row r="27" spans="1:11">
      <c r="A27" s="3"/>
      <c r="B27" s="2"/>
      <c r="C27" s="2"/>
      <c r="D27" s="2"/>
      <c r="E27" s="2"/>
      <c r="F27" s="2"/>
      <c r="G27" s="3"/>
      <c r="H27" s="2"/>
      <c r="I27" s="3"/>
      <c r="J27" s="2"/>
      <c r="K27" s="2"/>
    </row>
    <row r="28" spans="1:11">
      <c r="A28" s="3"/>
      <c r="B28" s="2"/>
      <c r="C28" s="2"/>
      <c r="D28" s="2"/>
      <c r="E28" s="2"/>
      <c r="F28" s="2"/>
      <c r="G28" s="3"/>
      <c r="H28" s="2"/>
      <c r="I28" s="3"/>
      <c r="J28" s="2"/>
      <c r="K28" s="2"/>
    </row>
    <row r="29" spans="1:11">
      <c r="A29" s="3"/>
      <c r="B29" s="2"/>
      <c r="C29" s="2"/>
      <c r="D29" s="2"/>
      <c r="E29" s="2"/>
      <c r="F29" s="2"/>
      <c r="G29" s="3"/>
      <c r="H29" s="2"/>
      <c r="I29" s="3"/>
      <c r="J29" s="2"/>
      <c r="K29" s="2"/>
    </row>
    <row r="30" spans="1:11">
      <c r="A30" s="3"/>
      <c r="B30" s="2"/>
      <c r="C30" s="2"/>
      <c r="D30" s="2"/>
      <c r="E30" s="2"/>
      <c r="F30" s="2"/>
      <c r="G30" s="3"/>
      <c r="H30" s="2"/>
      <c r="I30" s="3"/>
      <c r="J30" s="2"/>
      <c r="K30" s="2"/>
    </row>
    <row r="31" spans="1:11">
      <c r="A31" s="3"/>
      <c r="B31" s="2"/>
      <c r="C31" s="2"/>
      <c r="D31" s="2"/>
      <c r="E31" s="2"/>
      <c r="F31" s="2"/>
      <c r="G31" s="3"/>
      <c r="H31" s="2"/>
      <c r="I31" s="3"/>
      <c r="J31" s="2"/>
      <c r="K31" s="2"/>
    </row>
    <row r="32" spans="1:11">
      <c r="A32" s="3"/>
      <c r="B32" s="2"/>
      <c r="C32" s="2"/>
      <c r="D32" s="2"/>
      <c r="E32" s="2"/>
      <c r="F32" s="2"/>
      <c r="G32" s="3"/>
      <c r="H32" s="2"/>
      <c r="I32" s="3"/>
      <c r="J32" s="2"/>
      <c r="K32" s="2"/>
    </row>
    <row r="33" spans="1:11">
      <c r="A33" s="3"/>
      <c r="B33" s="2"/>
      <c r="C33" s="2"/>
      <c r="D33" s="2"/>
      <c r="E33" s="2"/>
      <c r="F33" s="2"/>
      <c r="G33" s="3"/>
      <c r="H33" s="2"/>
      <c r="I33" s="3"/>
      <c r="J33" s="2"/>
      <c r="K33" s="2"/>
    </row>
  </sheetData>
  <mergeCells count="1">
    <mergeCell ref="A1:K1"/>
  </mergeCells>
  <conditionalFormatting sqref="H3:H33">
    <cfRule type="expression" dxfId="3" priority="3">
      <formula>H3="Complete"</formula>
    </cfRule>
  </conditionalFormatting>
  <conditionalFormatting sqref="J3:J33">
    <cfRule type="expression" dxfId="2" priority="1">
      <formula>J3="Yes - Overdue"</formula>
    </cfRule>
    <cfRule type="expression" dxfId="1" priority="2">
      <formula>J3="Yes - Due Soon"</formula>
    </cfRule>
  </conditionalFormatting>
  <conditionalFormatting sqref="K3:K33">
    <cfRule type="expression" dxfId="0" priority="4">
      <formula>K3="Yes"</formula>
    </cfRule>
  </conditionalFormatting>
  <dataValidations count="4">
    <dataValidation type="list" sqref="B3:B33" xr:uid="{00000000-0002-0000-0300-000000000000}">
      <formula1>"Weekly Team,Program Check-in,One-on-One,Planning Meeting"</formula1>
    </dataValidation>
    <dataValidation type="list" sqref="F3:F33" xr:uid="{00000000-0002-0000-0300-000001000000}">
      <formula1>"Shuchita,Program Lead,Educator Services"</formula1>
    </dataValidation>
    <dataValidation type="list" sqref="H3:H33" xr:uid="{00000000-0002-0000-0300-000002000000}">
      <formula1>"Not Started,In Progress,Waiting,Complete"</formula1>
    </dataValidation>
    <dataValidation type="list" sqref="K3:K33" xr:uid="{00000000-0002-0000-0300-000003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Educator Data Tracker</vt:lpstr>
      <vt:lpstr>Shared Inbox Tracker</vt:lpstr>
      <vt:lpstr>Meeting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shuchita agg</cp:lastModifiedBy>
  <dcterms:modified xsi:type="dcterms:W3CDTF">2026-08-09T20:01:24Z</dcterms:modified>
</cp:coreProperties>
</file>